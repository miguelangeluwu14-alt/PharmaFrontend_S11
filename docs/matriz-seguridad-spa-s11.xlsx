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35ee1dae1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ruebas" sheetId="1" r:id="Rc622d75a76194828"/>
    <x:sheet xmlns:r="http://schemas.openxmlformats.org/officeDocument/2006/relationships" name="Resumen" sheetId="2" r:id="Rff815d39567a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Arial"/>
    </x:font>
    <x:font>
      <x:sz val="11"/>
      <x:color rgb="FF1D4F8A"/>
      <x:name val="Arial"/>
    </x:font>
    <x:font>
      <x:sz val="10"/>
      <x:color rgb="FF475569"/>
      <x:name val="Arial"/>
    </x:font>
    <x:font>
      <x:b/>
      <x:sz val="11"/>
      <x:color rgb="FF14654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9.4"/>
      <x:color rgb="FF20364E"/>
      <x:name val="Arial"/>
    </x:font>
    <x:font>
      <x:b/>
      <x:sz val="10.5"/>
      <x:color rgb="FF174A84"/>
      <x:name val="Arial"/>
    </x:font>
    <x:font>
      <x:b/>
      <x:sz val="10"/>
      <x:color rgb="FF0F7548"/>
      <x:name val="Arial"/>
    </x:font>
    <x:font>
      <x:sz val="9.4"/>
      <x:color rgb="FF1D5B8E"/>
      <x:name val="Arial"/>
    </x:font>
    <x:font>
      <x:sz val="9.4"/>
      <x:color rgb="FF955A13"/>
      <x:name val="Arial"/>
    </x:font>
    <x:font>
      <x:b/>
      <x:sz val="16"/>
      <x:color rgb="FFFFFFFF"/>
      <x:name val="Arial"/>
    </x:font>
    <x:font>
      <x:sz val="10"/>
      <x:color rgb="FF24354E"/>
      <x:name val="Arial"/>
    </x:font>
    <x:font>
      <x:b/>
      <x:sz val="11"/>
      <x:color rgb="FF145E3B"/>
      <x:name val="Arial"/>
    </x:font>
    <x:font>
      <x:b/>
      <x:sz val="10"/>
      <x:color rgb="FF1D518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02B50"/>
      </x:patternFill>
    </x:fill>
    <x:fill>
      <x:patternFill patternType="solid">
        <x:fgColor rgb="FFE9F3FF"/>
      </x:patternFill>
    </x:fill>
    <x:fill>
      <x:patternFill patternType="solid">
        <x:fgColor rgb="FFDFF4EA"/>
      </x:patternFill>
    </x:fill>
    <x:fill>
      <x:patternFill patternType="solid">
        <x:fgColor rgb="FF19518D"/>
      </x:patternFill>
    </x:fill>
    <x:fill>
      <x:patternFill patternType="solid">
        <x:fgColor rgb="FFDEF5E8"/>
      </x:patternFill>
    </x:fill>
    <x:fill>
      <x:patternFill patternType="solid">
        <x:fgColor rgb="FFE7F3FE"/>
      </x:patternFill>
    </x:fill>
    <x:fill>
      <x:patternFill patternType="solid">
        <x:fgColor rgb="FFF4F8FC"/>
      </x:patternFill>
    </x:fill>
    <x:fill>
      <x:patternFill patternType="solid">
        <x:fgColor rgb="FFFFF0D9"/>
      </x:patternFill>
    </x:fill>
    <x:fill>
      <x:patternFill patternType="solid">
        <x:fgColor rgb="FFE1F5E8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E2EAF1"/>
      </x:bottom>
      <x:diagonal/>
    </x:border>
    <x:border>
      <x:left/>
      <x:right/>
      <x:top style="thin">
        <x:color rgb="FFE2EAF1"/>
      </x:top>
      <x:bottom style="thin">
        <x:color rgb="FFE2EAF1"/>
      </x:bottom>
      <x:diagonal/>
    </x:border>
    <x:border>
      <x:left/>
      <x:right/>
      <x:top style="thin">
        <x:color rgb="FFE2EAF1"/>
      </x:top>
      <x:bottom/>
      <x:diagonal/>
    </x:border>
    <x:border>
      <x:left/>
      <x:right/>
      <x:top/>
      <x:bottom style="thin">
        <x:color rgb="FFE4EAF0"/>
      </x:bottom>
      <x:diagonal/>
    </x:border>
    <x:border>
      <x:left/>
      <x:right/>
      <x:top style="thin">
        <x:color rgb="FFE4EAF0"/>
      </x:top>
      <x:bottom style="thin">
        <x:color rgb="FFE4EAF0"/>
      </x:bottom>
      <x:diagonal/>
    </x:border>
    <x:border>
      <x:left/>
      <x:right/>
      <x:top style="thin">
        <x:color rgb="FFE4EAF0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10" fillId="7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9" fillId="6" borderId="3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4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/>
    </x:xf>
    <x:xf numFmtId="0" fontId="13" fillId="10" borderId="6" xfId="0" applyNumberFormat="1" applyFont="1" applyFill="1" applyBorder="1" applyAlignment="1">
      <x:alignment vertical="center"/>
    </x:xf>
    <x:xf numFmtId="0" fontId="14" fillId="10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f8f707c9a41ac" /><Relationship Type="http://schemas.openxmlformats.org/officeDocument/2006/relationships/theme" Target="/xl/theme/theme1.xml" Id="Ra83b989556e641ec" /><Relationship Type="http://schemas.openxmlformats.org/officeDocument/2006/relationships/sharedStrings" Target="/xl/sharedStrings.xml" Id="R7e50e062d63b4528" /><Relationship Type="http://schemas.openxmlformats.org/officeDocument/2006/relationships/worksheet" Target="/xl/worksheets/sheet1.xml" Id="Rc622d75a76194828" /><Relationship Type="http://schemas.openxmlformats.org/officeDocument/2006/relationships/worksheet" Target="/xl/worksheets/sheet2.xml" Id="Rff815d39567a47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F76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70" hidden="0" customWidth="1"/>
    <x:col min="5" max="5" width="67" hidden="0" customWidth="1"/>
    <x:col min="6" max="6" width="72" hidden="0" customWidth="1"/>
    <x:col min="7" max="7" width="12" hidden="0" customWidth="1"/>
    <x:col min="8" max="8" width="20" hidden="0" customWidth="1"/>
    <x:col min="9" max="9" width="26" hidden="0" customWidth="1"/>
  </x:cols>
  <x:sheetData>
    <x:row r="1" ht="27" customHeight="1">
      <x:c r="A1" s="3" t="str">
        <x:v>MATRIZ DE SEGURIDAD SPA  |  PHARMASOFT</x:v>
      </x:c>
      <x:c r="B1" s="3"/>
      <x:c r="C1" s="3"/>
      <x:c r="D1" s="3"/>
      <x:c r="E1" s="3"/>
      <x:c r="F1" s="3"/>
      <x:c r="G1" s="3"/>
      <x:c r="H1" s="3"/>
      <x:c r="I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5" customHeight="1">
      <x:c r="A3" s="6" t="str">
        <x:v>Sesión 11 · Guía autónoma · Evaluación manual de autenticación, sesión, permisos e interceptores</x:v>
      </x:c>
      <x:c r="B3" s="6"/>
      <x:c r="C3" s="6"/>
      <x:c r="D3" s="6"/>
      <x:c r="E3" s="6"/>
      <x:c r="F3" s="6"/>
      <x:c r="G3" s="6"/>
      <x:c r="H3" s="6"/>
      <x:c r="I3" s="6"/>
    </x:row>
    <x:row r="4" ht="25" customHeight="1">
      <x:c r="A4" s="7" t="str">
        <x:v>Alumno: Miguel Ángel Zambrano Pérez    |    Fecha: 25/10/2026    |    Chrome    |    Angular 22    |    API: localhost:8080</x:v>
      </x:c>
      <x:c r="B4" s="7"/>
      <x:c r="C4" s="7"/>
      <x:c r="D4" s="7"/>
      <x:c r="E4" s="7"/>
      <x:c r="F4" s="7"/>
      <x:c r="G4" s="7"/>
      <x:c r="H4" s="7"/>
      <x:c r="I4" s="7"/>
    </x:row>
    <x:row r="5" ht="29" customHeight="1">
      <x:c r="A5" s="10" t="str">
        <x:v>TOTAL: 24 casos</x:v>
      </x:c>
      <x:c r="B5" s="10"/>
      <x:c r="C5" s="10" t="str">
        <x:f>"APROBADOS: "&amp;COUNTIF(G8:G31,"Pasa")</x:f>
        <x:v>APROBADOS: 24</x:v>
      </x:c>
      <x:c r="D5" s="10"/>
      <x:c r="E5" s="10" t="str">
        <x:f>"FALLAS: "&amp;COUNTIF(G8:G31,"Falla")</x:f>
        <x:v>FALLAS: 0</x:v>
      </x:c>
      <x:c r="F5" s="10"/>
      <x:c r="G5" s="10" t="str">
        <x:v>Evaluación manual comunicada por el estudiante</x:v>
      </x:c>
      <x:c r="H5" s="10"/>
      <x:c r="I5" s="10"/>
    </x:row>
    <x:row r="6" ht="31" customHeight="1">
      <x:c r="A6" s="11" t="str">
        <x:v>Nota: evidencia directa = la captura muestra el resultado; contextual = la captura solo respalda parte del proceso o su estado final. No se ha inventado ninguna captura.</x:v>
      </x:c>
      <x:c r="B6" s="11"/>
      <x:c r="C6" s="11"/>
      <x:c r="D6" s="11"/>
      <x:c r="E6" s="11"/>
      <x:c r="F6" s="11"/>
      <x:c r="G6" s="11"/>
      <x:c r="H6" s="11"/>
      <x:c r="I6" s="11"/>
    </x:row>
    <x:row r="7" ht="33" customHeight="1">
      <x:c r="A7" s="15" t="str">
        <x:v>ID</x:v>
      </x:c>
      <x:c r="B7" s="15" t="str">
        <x:v>Grupo</x:v>
      </x:c>
      <x:c r="C7" s="15" t="str">
        <x:v>Perfil utilizado</x:v>
      </x:c>
      <x:c r="D7" s="15" t="str">
        <x:v>Acción / pasos</x:v>
      </x:c>
      <x:c r="E7" s="15" t="str">
        <x:v>Resultado esperado</x:v>
      </x:c>
      <x:c r="F7" s="15" t="str">
        <x:v>Resultado obtenido (manual)</x:v>
      </x:c>
      <x:c r="G7" s="15" t="str">
        <x:v>Estado</x:v>
      </x:c>
      <x:c r="H7" s="15" t="str">
        <x:v>Alcance de evidencia</x:v>
      </x:c>
      <x:c r="I7" s="15" t="str">
        <x:v>Ubicación en PDF</x:v>
      </x:c>
    </x:row>
    <x:row r="8" ht="58" customHeight="1">
      <x:c r="A8" s="26" t="str">
        <x:v>L-01</x:v>
      </x:c>
      <x:c r="B8" s="23" t="str">
        <x:v>Login</x:v>
      </x:c>
      <x:c r="C8" s="23" t="str">
        <x:v>Invitado</x:v>
      </x:c>
      <x:c r="D8" s="23" t="str">
        <x:v>Enviar login vacío y luego solo usuario; revisar las solicitudes.</x:v>
      </x:c>
      <x:c r="E8" s="23" t="str">
        <x:v>Validaciones obligatorias sin POST al backend.</x:v>
      </x:c>
      <x:c r="F8" s="23" t="str">
        <x:v>Se mostraron los avisos de los campos requeridos y no se envió el formulario incompleto.</x:v>
      </x:c>
      <x:c r="G8" s="28" t="str">
        <x:v>Pasa</x:v>
      </x:c>
      <x:c r="H8" s="30" t="str">
        <x:v>Directa</x:v>
      </x:c>
      <x:c r="I8" s="23" t="str">
        <x:v>Página 02 · 1 captura(s)</x:v>
      </x:c>
    </x:row>
    <x:row r="9" ht="58" customHeight="1">
      <x:c r="A9" s="32" t="str">
        <x:v>L-02</x:v>
      </x:c>
      <x:c r="B9" s="31" t="str">
        <x:v>Login</x:v>
      </x:c>
      <x:c r="C9" s="31" t="str">
        <x:v>Inexistente, admin e inactivo</x:v>
      </x:c>
      <x:c r="D9" s="31" t="str">
        <x:v>Probar un usuario inexistente, una contraseña equivocada y un usuario inactivo.</x:v>
      </x:c>
      <x:c r="E9" s="31" t="str">
        <x:v>Mensaje genérico, usuario conservado y contraseña borrada.</x:v>
      </x:c>
      <x:c r="F9" s="31" t="str">
        <x:v>Los intentos fallidos devolvieron HTTP 401; apareció el mensaje genérico y se limpió la clave.</x:v>
      </x:c>
      <x:c r="G9" s="34" t="str">
        <x:v>Pasa</x:v>
      </x:c>
      <x:c r="H9" s="36" t="str">
        <x:v>Directa</x:v>
      </x:c>
      <x:c r="I9" s="31" t="str">
        <x:v>Página 03 · 2 captura(s)</x:v>
      </x:c>
    </x:row>
    <x:row r="10" ht="58" customHeight="1">
      <x:c r="A10" s="37" t="str">
        <x:v>L-03</x:v>
      </x:c>
      <x:c r="B10" s="24" t="str">
        <x:v>Login</x:v>
      </x:c>
      <x:c r="C10" s="24" t="str">
        <x:v>Administrador</x:v>
      </x:c>
      <x:c r="D10" s="24" t="str">
        <x:v>Ingresar credenciales correctas y hacer doble clic rápido en Ingresar.</x:v>
      </x:c>
      <x:c r="E10" s="24" t="str">
        <x:v>Un solo POST /auth/login; botón bloqueado durante la petición.</x:v>
      </x:c>
      <x:c r="F10" s="24" t="str">
        <x:v>La validación manual registró un solo POST y acceso exitoso a /inicio.</x:v>
      </x:c>
      <x:c r="G10" s="34" t="str">
        <x:v>Pasa</x:v>
      </x:c>
      <x:c r="H10" s="36" t="str">
        <x:v>Directa</x:v>
      </x:c>
      <x:c r="I10" s="24" t="str">
        <x:v>Página 04 · 1 captura(s)</x:v>
      </x:c>
    </x:row>
    <x:row r="11" ht="58" customHeight="1">
      <x:c r="A11" s="32" t="str">
        <x:v>L-04</x:v>
      </x:c>
      <x:c r="B11" s="31" t="str">
        <x:v>Login</x:v>
      </x:c>
      <x:c r="C11" s="31" t="str">
        <x:v>Administrador</x:v>
      </x:c>
      <x:c r="D11" s="31" t="str">
        <x:v>Abrir login con returnUrl a un dominio externo; identificarse.</x:v>
      </x:c>
      <x:c r="E11" s="31" t="str">
        <x:v>Descartar la URL externa y navegar a /inicio.</x:v>
      </x:c>
      <x:c r="F11" s="31" t="str">
        <x:v>La sesión terminó en la ruta interna /inicio; no hubo redirección fuera de PharmaSoft.</x:v>
      </x:c>
      <x:c r="G11" s="34" t="str">
        <x:v>Pasa</x:v>
      </x:c>
      <x:c r="H11" s="39" t="str">
        <x:v>Contextual</x:v>
      </x:c>
      <x:c r="I11" s="31" t="str">
        <x:v>Página 05 · 1 captura(s)</x:v>
      </x:c>
    </x:row>
    <x:row r="12" ht="58" customHeight="1">
      <x:c r="A12" s="37" t="str">
        <x:v>S-01</x:v>
      </x:c>
      <x:c r="B12" s="24" t="str">
        <x:v>Sesión</x:v>
      </x:c>
      <x:c r="C12" s="24" t="str">
        <x:v>Administrador</x:v>
      </x:c>
      <x:c r="D12" s="24" t="str">
        <x:v>Iniciar sesión, actualizar con F5 y abrir una sesión de navegador nueva.</x:v>
      </x:c>
      <x:c r="E12" s="24" t="str">
        <x:v>Persistencia tras F5; login en una sesión de navegador independiente.</x:v>
      </x:c>
      <x:c r="F12" s="24" t="str">
        <x:v>El usuario siguió autenticado tras F5; en la nueva sesión se solicitó inicio de sesión.</x:v>
      </x:c>
      <x:c r="G12" s="34" t="str">
        <x:v>Pasa</x:v>
      </x:c>
      <x:c r="H12" s="39" t="str">
        <x:v>Contextual</x:v>
      </x:c>
      <x:c r="I12" s="24" t="str">
        <x:v>Página 06 · 2 captura(s)</x:v>
      </x:c>
    </x:row>
    <x:row r="13" ht="58" customHeight="1">
      <x:c r="A13" s="32" t="str">
        <x:v>S-02</x:v>
      </x:c>
      <x:c r="B13" s="31" t="str">
        <x:v>Sesión</x:v>
      </x:c>
      <x:c r="C13" s="31" t="str">
        <x:v>Administrador</x:v>
      </x:c>
      <x:c r="D13" s="31" t="str">
        <x:v>Cambiar expiraEn a una fecha pasada en sessionStorage y pulsar F5.</x:v>
      </x:c>
      <x:c r="E13" s="31" t="str">
        <x:v>Descartar sesión vencida y mostrar login.</x:v>
      </x:c>
      <x:c r="F13" s="31" t="str">
        <x:v>Se eliminó el registro de sesión y la aplicación abrió el login sin acceso protegido.</x:v>
      </x:c>
      <x:c r="G13" s="34" t="str">
        <x:v>Pasa</x:v>
      </x:c>
      <x:c r="H13" s="36" t="str">
        <x:v>Directa</x:v>
      </x:c>
      <x:c r="I13" s="31" t="str">
        <x:v>Página 07 · 1 captura(s)</x:v>
      </x:c>
    </x:row>
    <x:row r="14" ht="58" customHeight="1">
      <x:c r="A14" s="37" t="str">
        <x:v>S-03</x:v>
      </x:c>
      <x:c r="B14" s="24" t="str">
        <x:v>Sesión</x:v>
      </x:c>
      <x:c r="C14" s="24" t="str">
        <x:v>Administrador</x:v>
      </x:c>
      <x:c r="D14" s="24" t="str">
        <x:v>Guardar JSON inválido en pharmasoft.sesion y recargar.</x:v>
      </x:c>
      <x:c r="E14" s="24" t="str">
        <x:v>Recuperación sin fallo: dato eliminado y login.</x:v>
      </x:c>
      <x:c r="F14" s="24" t="str">
        <x:v>La sesión malformada fue descartada; la SPA continuó funcionando y volvió al login.</x:v>
      </x:c>
      <x:c r="G14" s="34" t="str">
        <x:v>Pasa</x:v>
      </x:c>
      <x:c r="H14" s="39" t="str">
        <x:v>Contextual</x:v>
      </x:c>
      <x:c r="I14" s="24" t="str">
        <x:v>Página 08 · 1 captura(s)</x:v>
      </x:c>
    </x:row>
    <x:row r="15" ht="58" customHeight="1">
      <x:c r="A15" s="32" t="str">
        <x:v>S-04</x:v>
      </x:c>
      <x:c r="B15" s="31" t="str">
        <x:v>Sesión</x:v>
      </x:c>
      <x:c r="C15" s="31" t="str">
        <x:v>Administrador</x:v>
      </x:c>
      <x:c r="D15" s="31" t="str">
        <x:v>Abrir dos pestañas, cerrar sesión en una y revisar la otra.</x:v>
      </x:c>
      <x:c r="E15" s="31" t="str">
        <x:v>Registrar aislamiento del almacenamiento de sesión entre pestañas.</x:v>
      </x:c>
      <x:c r="F15" s="31" t="str">
        <x:v>Se comprobó el comportamiento por pestaña de sessionStorage tras cerrar sesión en una de ellas.</x:v>
      </x:c>
      <x:c r="G15" s="34" t="str">
        <x:v>Pasa</x:v>
      </x:c>
      <x:c r="H15" s="39" t="str">
        <x:v>Contextual</x:v>
      </x:c>
      <x:c r="I15" s="31" t="str">
        <x:v>Página 09 · 1 captura(s)</x:v>
      </x:c>
    </x:row>
    <x:row r="16" ht="58" customHeight="1">
      <x:c r="A16" s="37" t="str">
        <x:v>I-01</x:v>
      </x:c>
      <x:c r="B16" s="24" t="str">
        <x:v>Interceptor</x:v>
      </x:c>
      <x:c r="C16" s="24" t="str">
        <x:v>Administrador</x:v>
      </x:c>
      <x:c r="D16" s="24" t="str">
        <x:v>Inspeccionar cabeceras de GET a la API, POST de login y GET a example.com.</x:v>
      </x:c>
      <x:c r="E16" s="24" t="str">
        <x:v>Bearer solo en llamadas protegidas al backend, nunca en login o dominios externos.</x:v>
      </x:c>
      <x:c r="F16" s="24" t="str">
        <x:v>La API recibió Bearer; el POST de login y la petición externa no incluyeron Authorization.</x:v>
      </x:c>
      <x:c r="G16" s="34" t="str">
        <x:v>Pasa</x:v>
      </x:c>
      <x:c r="H16" s="36" t="str">
        <x:v>Directa</x:v>
      </x:c>
      <x:c r="I16" s="24" t="str">
        <x:v>Página 10 · 2 captura(s)</x:v>
      </x:c>
    </x:row>
    <x:row r="17" ht="58" customHeight="1">
      <x:c r="A17" s="32" t="str">
        <x:v>I-02</x:v>
      </x:c>
      <x:c r="B17" s="31" t="str">
        <x:v>Interceptor</x:v>
      </x:c>
      <x:c r="C17" s="31" t="str">
        <x:v>Administrador</x:v>
      </x:c>
      <x:c r="D17" s="31" t="str">
        <x:v>Detener backend con sesión activa; entrar a Productos; reiniciar servidor.</x:v>
      </x:c>
      <x:c r="E17" s="31" t="str">
        <x:v>Aviso de red y mantenimiento de la sesión ante error de conexión.</x:v>
      </x:c>
      <x:c r="F17" s="31" t="str">
        <x:v>Las solicitudes fallaron por conexión, la interfaz informó el problema y el usuario conservó sesión.</x:v>
      </x:c>
      <x:c r="G17" s="34" t="str">
        <x:v>Pasa</x:v>
      </x:c>
      <x:c r="H17" s="36" t="str">
        <x:v>Directa</x:v>
      </x:c>
      <x:c r="I17" s="31" t="str">
        <x:v>Página 11 · 1 captura(s)</x:v>
      </x:c>
    </x:row>
    <x:row r="18" ht="58" customHeight="1">
      <x:c r="A18" s="37" t="str">
        <x:v>I-03</x:v>
      </x:c>
      <x:c r="B18" s="24" t="str">
        <x:v>Interceptor</x:v>
      </x:c>
      <x:c r="C18" s="24" t="str">
        <x:v>Administrador</x:v>
      </x:c>
      <x:c r="D18" s="24" t="str">
        <x:v>Alterar el token para provocar 401 al consultar Ventas.</x:v>
      </x:c>
      <x:c r="E18" s="24" t="str">
        <x:v>HTTP 401, cierre de sesión y login con aviso de expiración y returnUrl.</x:v>
      </x:c>
      <x:c r="F18" s="24" t="str">
        <x:v>El backend devolvió 401 y la aplicación redirigió a login?expirada=1&amp;returnUrl=%2Fventas.</x:v>
      </x:c>
      <x:c r="G18" s="34" t="str">
        <x:v>Pasa</x:v>
      </x:c>
      <x:c r="H18" s="36" t="str">
        <x:v>Directa</x:v>
      </x:c>
      <x:c r="I18" s="24" t="str">
        <x:v>Página 12 · 1 captura(s)</x:v>
      </x:c>
    </x:row>
    <x:row r="19" ht="58" customHeight="1">
      <x:c r="A19" s="32" t="str">
        <x:v>G-01</x:v>
      </x:c>
      <x:c r="B19" s="31" t="str">
        <x:v>Guards</x:v>
      </x:c>
      <x:c r="C19" s="31" t="str">
        <x:v>Invitado</x:v>
      </x:c>
      <x:c r="D19" s="31" t="str">
        <x:v>Abrir sin sesión rutas /productos/1/editar, /ventas/nueva y /inicio.</x:v>
      </x:c>
      <x:c r="E19" s="31" t="str">
        <x:v>Redirigir a login incluyendo el destino interno returnUrl.</x:v>
      </x:c>
      <x:c r="F19" s="31" t="str">
        <x:v>Las rutas protegidas llevaron a /login con returnUrl codificado correctamente.</x:v>
      </x:c>
      <x:c r="G19" s="34" t="str">
        <x:v>Pasa</x:v>
      </x:c>
      <x:c r="H19" s="36" t="str">
        <x:v>Directa</x:v>
      </x:c>
      <x:c r="I19" s="31" t="str">
        <x:v>Página 13 · 1 captura(s)</x:v>
      </x:c>
    </x:row>
    <x:row r="20" ht="58" customHeight="1">
      <x:c r="A20" s="37" t="str">
        <x:v>G-02</x:v>
      </x:c>
      <x:c r="B20" s="24" t="str">
        <x:v>Guards</x:v>
      </x:c>
      <x:c r="C20" s="24" t="str">
        <x:v>Vendedor y almacenero</x:v>
      </x:c>
      <x:c r="D20" s="24" t="str">
        <x:v>Intentar abrir pantallas de creación o edición sin rol suficiente.</x:v>
      </x:c>
      <x:c r="E20" s="24" t="str">
        <x:v>Mostrar 403 Acceso denegado en las rutas protegidas.</x:v>
      </x:c>
      <x:c r="F20" s="24" t="str">
        <x:v>El guard mostró 403 para las combinaciones de rol y ruta no permitidas.</x:v>
      </x:c>
      <x:c r="G20" s="34" t="str">
        <x:v>Pasa</x:v>
      </x:c>
      <x:c r="H20" s="36" t="str">
        <x:v>Directa</x:v>
      </x:c>
      <x:c r="I20" s="24" t="str">
        <x:v>Página 14 · 2 captura(s)</x:v>
      </x:c>
    </x:row>
    <x:row r="21" ht="58" customHeight="1">
      <x:c r="A21" s="32" t="str">
        <x:v>M-01</x:v>
      </x:c>
      <x:c r="B21" s="31" t="str">
        <x:v>Menú</x:v>
      </x:c>
      <x:c r="C21" s="31" t="str">
        <x:v>Admin, vendedor, almacén y supervisor</x:v>
      </x:c>
      <x:c r="D21" s="31" t="str">
        <x:v>Entrar sucesivamente con cuatro roles y comparar menú, acciones y botones.</x:v>
      </x:c>
      <x:c r="E21" s="31" t="str">
        <x:v>Opciones acordes con permisos efectivos de cada rol.</x:v>
      </x:c>
      <x:c r="F21" s="31" t="str">
        <x:v>Se observaron distintas opciones y acciones disponibles según los perfiles probados.</x:v>
      </x:c>
      <x:c r="G21" s="34" t="str">
        <x:v>Pasa</x:v>
      </x:c>
      <x:c r="H21" s="39" t="str">
        <x:v>Contextual</x:v>
      </x:c>
      <x:c r="I21" s="31" t="str">
        <x:v>Página 15 · 2 captura(s)</x:v>
      </x:c>
    </x:row>
    <x:row r="22" ht="58" customHeight="1">
      <x:c r="A22" s="37" t="str">
        <x:v>M-02</x:v>
      </x:c>
      <x:c r="B22" s="24" t="str">
        <x:v>Menú</x:v>
      </x:c>
      <x:c r="C22" s="24" t="str">
        <x:v>Administrador y almacenero</x:v>
      </x:c>
      <x:c r="D22" s="24" t="str">
        <x:v>Cerrar sesión de admin e ingresar como almacenero sin actualizar la página.</x:v>
      </x:c>
      <x:c r="E22" s="24" t="str">
        <x:v>Actualizar el menú inmediatamente con permisos del segundo rol.</x:v>
      </x:c>
      <x:c r="F22" s="24" t="str">
        <x:v>La navegación lateral se recalculó al cambiar de cuenta sin necesidad de F5.</x:v>
      </x:c>
      <x:c r="G22" s="34" t="str">
        <x:v>Pasa</x:v>
      </x:c>
      <x:c r="H22" s="39" t="str">
        <x:v>Contextual</x:v>
      </x:c>
      <x:c r="I22" s="24" t="str">
        <x:v>Página 16 · 2 captura(s)</x:v>
      </x:c>
    </x:row>
    <x:row r="23" ht="58" customHeight="1">
      <x:c r="A23" s="32" t="str">
        <x:v>E-01</x:v>
      </x:c>
      <x:c r="B23" s="31" t="str">
        <x:v>401/403</x:v>
      </x:c>
      <x:c r="C23" s="31" t="str">
        <x:v>Vendedor</x:v>
      </x:c>
      <x:c r="D23" s="31" t="str">
        <x:v>Forzar baja de un producto inexistente de prueba mediante el componente.</x:v>
      </x:c>
      <x:c r="E23" s="31" t="str">
        <x:v>El backend bloquea la operación con 403 y mantiene la sesión.</x:v>
      </x:c>
      <x:c r="F23" s="31" t="str">
        <x:v>DELETE /productos/0 devolvió 403, la interfaz avisó falta de permisos y no cerró sesión.</x:v>
      </x:c>
      <x:c r="G23" s="34" t="str">
        <x:v>Pasa</x:v>
      </x:c>
      <x:c r="H23" s="36" t="str">
        <x:v>Directa</x:v>
      </x:c>
      <x:c r="I23" s="31" t="str">
        <x:v>Página 17 · 2 captura(s)</x:v>
      </x:c>
    </x:row>
    <x:row r="24" ht="58" customHeight="1">
      <x:c r="A24" s="37" t="str">
        <x:v>L-05</x:v>
      </x:c>
      <x:c r="B24" s="24" t="str">
        <x:v>Login</x:v>
      </x:c>
      <x:c r="C24" s="24" t="str">
        <x:v>Administrador</x:v>
      </x:c>
      <x:c r="D24" s="24" t="str">
        <x:v>Fallar una clave, corregirla e ingresar sin recargar la SPA.</x:v>
      </x:c>
      <x:c r="E24" s="24" t="str">
        <x:v>Limpiar la contraseña después del error y aceptar el siguiente intento.</x:v>
      </x:c>
      <x:c r="F24" s="24" t="str">
        <x:v>Se mantuvo el formulario tras el rechazo y la siguiente autenticación correcta devolvió 200.</x:v>
      </x:c>
      <x:c r="G24" s="34" t="str">
        <x:v>Pasa</x:v>
      </x:c>
      <x:c r="H24" s="39" t="str">
        <x:v>Contextual</x:v>
      </x:c>
      <x:c r="I24" s="24" t="str">
        <x:v>Página 18 · 2 captura(s)</x:v>
      </x:c>
    </x:row>
    <x:row r="25" ht="58" customHeight="1">
      <x:c r="A25" s="32" t="str">
        <x:v>S-05</x:v>
      </x:c>
      <x:c r="B25" s="31" t="str">
        <x:v>Sesión</x:v>
      </x:c>
      <x:c r="C25" s="31" t="str">
        <x:v>Administrador</x:v>
      </x:c>
      <x:c r="D25" s="31" t="str">
        <x:v>Cerrar sesión, usar Atrás y entrar directamente a /inicio.</x:v>
      </x:c>
      <x:c r="E25" s="31" t="str">
        <x:v>No acceder a vistas protegidas tras el cierre de sesión.</x:v>
      </x:c>
      <x:c r="F25" s="31" t="str">
        <x:v>La aplicación volvió al login y las rutas protegidas solicitaron autenticación.</x:v>
      </x:c>
      <x:c r="G25" s="34" t="str">
        <x:v>Pasa</x:v>
      </x:c>
      <x:c r="H25" s="39" t="str">
        <x:v>Contextual</x:v>
      </x:c>
      <x:c r="I25" s="31" t="str">
        <x:v>Página 19 · 1 captura(s)</x:v>
      </x:c>
    </x:row>
    <x:row r="26" ht="58" customHeight="1">
      <x:c r="A26" s="37" t="str">
        <x:v>I-04</x:v>
      </x:c>
      <x:c r="B26" s="24" t="str">
        <x:v>Interceptor</x:v>
      </x:c>
      <x:c r="C26" s="24" t="str">
        <x:v>Almacenero</x:v>
      </x:c>
      <x:c r="D26" s="24" t="str">
        <x:v>Enviar GET /ventas/buscar con credenciales de almacén.</x:v>
      </x:c>
      <x:c r="E26" s="24" t="str">
        <x:v>HTTP 403 sin limpiar el token ni cerrar sesión.</x:v>
      </x:c>
      <x:c r="F26" s="24" t="str">
        <x:v>GET /api/v1/ventas/buscar devolvió 403 Forbidden y el usuario siguió dentro de Productos.</x:v>
      </x:c>
      <x:c r="G26" s="34" t="str">
        <x:v>Pasa</x:v>
      </x:c>
      <x:c r="H26" s="36" t="str">
        <x:v>Directa</x:v>
      </x:c>
      <x:c r="I26" s="24" t="str">
        <x:v>Página 20 · 1 captura(s)</x:v>
      </x:c>
    </x:row>
    <x:row r="27" ht="58" customHeight="1">
      <x:c r="A27" s="32" t="str">
        <x:v>G-03</x:v>
      </x:c>
      <x:c r="B27" s="31" t="str">
        <x:v>Guards</x:v>
      </x:c>
      <x:c r="C27" s="31" t="str">
        <x:v>Administrador</x:v>
      </x:c>
      <x:c r="D27" s="31" t="str">
        <x:v>Con sesión iniciada escribir /login en la barra del navegador.</x:v>
      </x:c>
      <x:c r="E27" s="31" t="str">
        <x:v>El guard de invitado envía a /inicio.</x:v>
      </x:c>
      <x:c r="F27" s="31" t="str">
        <x:v>La página terminó en /inicio sin mostrar formulario de acceso.</x:v>
      </x:c>
      <x:c r="G27" s="34" t="str">
        <x:v>Pasa</x:v>
      </x:c>
      <x:c r="H27" s="39" t="str">
        <x:v>Contextual</x:v>
      </x:c>
      <x:c r="I27" s="31" t="str">
        <x:v>Página 21 · 1 captura(s)</x:v>
      </x:c>
    </x:row>
    <x:row r="28" ht="58" customHeight="1">
      <x:c r="A28" s="37" t="str">
        <x:v>B-01</x:v>
      </x:c>
      <x:c r="B28" s="24" t="str">
        <x:v>Aviso</x:v>
      </x:c>
      <x:c r="C28" s="24" t="str">
        <x:v>Administrador</x:v>
      </x:c>
      <x:c r="D28" s="24" t="str">
        <x:v>Configurar token de 3 min y esperar a los dos últimos minutos.</x:v>
      </x:c>
      <x:c r="E28" s="24" t="str">
        <x:v>Mostrar alerta cuando queden 120 s o menos.</x:v>
      </x:c>
      <x:c r="F28" s="24" t="str">
        <x:v>Apareció el aviso de expiración inminente con tiempo restante.</x:v>
      </x:c>
      <x:c r="G28" s="34" t="str">
        <x:v>Pasa</x:v>
      </x:c>
      <x:c r="H28" s="36" t="str">
        <x:v>Directa</x:v>
      </x:c>
      <x:c r="I28" s="24" t="str">
        <x:v>Página 22 · 1 captura(s)</x:v>
      </x:c>
    </x:row>
    <x:row r="29" ht="58" customHeight="1">
      <x:c r="A29" s="32" t="str">
        <x:v>B-02</x:v>
      </x:c>
      <x:c r="B29" s="31" t="str">
        <x:v>Aviso</x:v>
      </x:c>
      <x:c r="C29" s="31" t="str">
        <x:v>Administrador</x:v>
      </x:c>
      <x:c r="D29" s="31" t="str">
        <x:v>Observar el reloj de cuenta regresiva con varios segundos de intervalo.</x:v>
      </x:c>
      <x:c r="E29" s="31" t="str">
        <x:v>Formato mm:ss y disminución continua, sin valores negativos.</x:v>
      </x:c>
      <x:c r="F29" s="31" t="str">
        <x:v>El contador fue descendiendo con el transcurso de los segundos.</x:v>
      </x:c>
      <x:c r="G29" s="34" t="str">
        <x:v>Pasa</x:v>
      </x:c>
      <x:c r="H29" s="36" t="str">
        <x:v>Directa</x:v>
      </x:c>
      <x:c r="I29" s="31" t="str">
        <x:v>Página 23 · 2 captura(s)</x:v>
      </x:c>
    </x:row>
    <x:row r="30" ht="58" customHeight="1">
      <x:c r="A30" s="37" t="str">
        <x:v>B-03</x:v>
      </x:c>
      <x:c r="B30" s="24" t="str">
        <x:v>Aviso</x:v>
      </x:c>
      <x:c r="C30" s="24" t="str">
        <x:v>Administrador</x:v>
      </x:c>
      <x:c r="D30" s="24" t="str">
        <x:v>Cerrar banner con ×, esperar e iniciar una sesión nueva.</x:v>
      </x:c>
      <x:c r="E30" s="24" t="str">
        <x:v>La alerta desaparece en esa sesión y puede reaparecer en la siguiente.</x:v>
      </x:c>
      <x:c r="F30" s="24" t="str">
        <x:v>Se ocultó el aviso hasta finalizar la sesión y pudo volver a mostrarse después.</x:v>
      </x:c>
      <x:c r="G30" s="34" t="str">
        <x:v>Pasa</x:v>
      </x:c>
      <x:c r="H30" s="39" t="str">
        <x:v>Contextual</x:v>
      </x:c>
      <x:c r="I30" s="24" t="str">
        <x:v>Página 24 · 2 captura(s)</x:v>
      </x:c>
    </x:row>
    <x:row r="31" ht="58" customHeight="1">
      <x:c r="A31" s="41" t="str">
        <x:v>B-04</x:v>
      </x:c>
      <x:c r="B31" s="40" t="str">
        <x:v>Aviso</x:v>
      </x:c>
      <x:c r="C31" s="40" t="str">
        <x:v>Administrador</x:v>
      </x:c>
      <x:c r="D31" s="40" t="str">
        <x:v>Esperar a que venza realmente el token sin interacción.</x:v>
      </x:c>
      <x:c r="E31" s="40" t="str">
        <x:v>Limpiar sesión, detener reloj y regresar a login con advertencia.</x:v>
      </x:c>
      <x:c r="F31" s="40" t="str">
        <x:v>La SPA eliminó la sesión y presentó el formulario con aviso de sesión expirada.</x:v>
      </x:c>
      <x:c r="G31" s="43" t="str">
        <x:v>Pasa</x:v>
      </x:c>
      <x:c r="H31" s="45" t="str">
        <x:v>Directa</x:v>
      </x:c>
      <x:c r="I31" s="40" t="str">
        <x:v>Página 25 · 1 captura(s)</x:v>
      </x:c>
    </x:row>
  </x:sheetData>
  <x:mergeCells>
    <x:mergeCell ref="A1:I2"/>
    <x:mergeCell ref="A3:I3"/>
    <x:mergeCell ref="A4:I4"/>
    <x:mergeCell ref="A5:B5"/>
    <x:mergeCell ref="C5:D5"/>
    <x:mergeCell ref="E5:F5"/>
    <x:mergeCell ref="G5:I5"/>
    <x:mergeCell ref="A6:I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A6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26" hidden="0" customWidth="1"/>
  </x:cols>
  <x:sheetData>
    <x:row r="1">
      <x:c r="A1" s="47" t="str">
        <x:v>RESUMEN DE EJECUCIÓN · SEGURIDAD SPA</x:v>
      </x:c>
      <x:c r="B1" s="47"/>
      <x:c r="C1" s="47"/>
      <x:c r="D1" s="47"/>
      <x:c r="E1" s="47"/>
    </x:row>
    <x:row r="2">
      <x:c r="A2" s="47"/>
      <x:c r="B2" s="47"/>
      <x:c r="C2" s="47"/>
      <x:c r="D2" s="47"/>
      <x:c r="E2" s="47"/>
    </x:row>
    <x:row r="4" ht="30" customHeight="1">
      <x:c r="A4" s="48" t="str">
        <x:v>Grupo</x:v>
      </x:c>
      <x:c r="B4" s="48" t="str">
        <x:v>Casos</x:v>
      </x:c>
      <x:c r="C4" s="48" t="str">
        <x:v>Pasa</x:v>
      </x:c>
      <x:c r="D4" s="48" t="str">
        <x:v>Falla</x:v>
      </x:c>
      <x:c r="E4" s="48" t="str">
        <x:v>Evidencia contextual</x:v>
      </x:c>
    </x:row>
    <x:row r="5" ht="32" customHeight="1">
      <x:c r="A5" s="53" t="str">
        <x:v>Login</x:v>
      </x:c>
      <x:c r="B5" s="53" t="n">
        <x:f>COUNTIF('Matriz de pruebas'!$B$8:$B$31,A5)</x:f>
        <x:v>5</x:v>
      </x:c>
      <x:c r="C5" s="53" t="n">
        <x:f>COUNTIFS('Matriz de pruebas'!$B$8:$B$31,A5,'Matriz de pruebas'!$G$8:$G$31,"Pasa")</x:f>
        <x:v>5</x:v>
      </x:c>
      <x:c r="D5" s="53" t="n">
        <x:f>COUNTIFS('Matriz de pruebas'!$B$8:$B$31,A5,'Matriz de pruebas'!$G$8:$G$31,"Falla")</x:f>
        <x:v>0</x:v>
      </x:c>
      <x:c r="E5" s="53" t="n">
        <x:f>COUNTIFS('Matriz de pruebas'!$B$8:$B$31,A5,'Matriz de pruebas'!$H$8:$H$31,"Contextual")</x:f>
        <x:v>2</x:v>
      </x:c>
    </x:row>
    <x:row r="6" ht="32" customHeight="1">
      <x:c r="A6" s="54" t="str">
        <x:v>Sesión</x:v>
      </x:c>
      <x:c r="B6" s="54" t="n">
        <x:f>COUNTIF('Matriz de pruebas'!$B$8:$B$31,A6)</x:f>
        <x:v>5</x:v>
      </x:c>
      <x:c r="C6" s="54" t="n">
        <x:f>COUNTIFS('Matriz de pruebas'!$B$8:$B$31,A6,'Matriz de pruebas'!$G$8:$G$31,"Pasa")</x:f>
        <x:v>5</x:v>
      </x:c>
      <x:c r="D6" s="54" t="n">
        <x:f>COUNTIFS('Matriz de pruebas'!$B$8:$B$31,A6,'Matriz de pruebas'!$G$8:$G$31,"Falla")</x:f>
        <x:v>0</x:v>
      </x:c>
      <x:c r="E6" s="54" t="n">
        <x:f>COUNTIFS('Matriz de pruebas'!$B$8:$B$31,A6,'Matriz de pruebas'!$H$8:$H$31,"Contextual")</x:f>
        <x:v>4</x:v>
      </x:c>
    </x:row>
    <x:row r="7" ht="32" customHeight="1">
      <x:c r="A7" s="54" t="str">
        <x:v>Interceptor</x:v>
      </x:c>
      <x:c r="B7" s="54" t="n">
        <x:f>COUNTIF('Matriz de pruebas'!$B$8:$B$31,A7)</x:f>
        <x:v>4</x:v>
      </x:c>
      <x:c r="C7" s="54" t="n">
        <x:f>COUNTIFS('Matriz de pruebas'!$B$8:$B$31,A7,'Matriz de pruebas'!$G$8:$G$31,"Pasa")</x:f>
        <x:v>4</x:v>
      </x:c>
      <x:c r="D7" s="54" t="n">
        <x:f>COUNTIFS('Matriz de pruebas'!$B$8:$B$31,A7,'Matriz de pruebas'!$G$8:$G$31,"Falla")</x:f>
        <x:v>0</x:v>
      </x:c>
      <x:c r="E7" s="54" t="n">
        <x:f>COUNTIFS('Matriz de pruebas'!$B$8:$B$31,A7,'Matriz de pruebas'!$H$8:$H$31,"Contextual")</x:f>
        <x:v>0</x:v>
      </x:c>
    </x:row>
    <x:row r="8" ht="32" customHeight="1">
      <x:c r="A8" s="54" t="str">
        <x:v>Guards</x:v>
      </x:c>
      <x:c r="B8" s="54" t="n">
        <x:f>COUNTIF('Matriz de pruebas'!$B$8:$B$31,A8)</x:f>
        <x:v>3</x:v>
      </x:c>
      <x:c r="C8" s="54" t="n">
        <x:f>COUNTIFS('Matriz de pruebas'!$B$8:$B$31,A8,'Matriz de pruebas'!$G$8:$G$31,"Pasa")</x:f>
        <x:v>3</x:v>
      </x:c>
      <x:c r="D8" s="54" t="n">
        <x:f>COUNTIFS('Matriz de pruebas'!$B$8:$B$31,A8,'Matriz de pruebas'!$G$8:$G$31,"Falla")</x:f>
        <x:v>0</x:v>
      </x:c>
      <x:c r="E8" s="54" t="n">
        <x:f>COUNTIFS('Matriz de pruebas'!$B$8:$B$31,A8,'Matriz de pruebas'!$H$8:$H$31,"Contextual")</x:f>
        <x:v>1</x:v>
      </x:c>
    </x:row>
    <x:row r="9" ht="32" customHeight="1">
      <x:c r="A9" s="54" t="str">
        <x:v>Menú</x:v>
      </x:c>
      <x:c r="B9" s="54" t="n">
        <x:f>COUNTIF('Matriz de pruebas'!$B$8:$B$31,A9)</x:f>
        <x:v>2</x:v>
      </x:c>
      <x:c r="C9" s="54" t="n">
        <x:f>COUNTIFS('Matriz de pruebas'!$B$8:$B$31,A9,'Matriz de pruebas'!$G$8:$G$31,"Pasa")</x:f>
        <x:v>2</x:v>
      </x:c>
      <x:c r="D9" s="54" t="n">
        <x:f>COUNTIFS('Matriz de pruebas'!$B$8:$B$31,A9,'Matriz de pruebas'!$G$8:$G$31,"Falla")</x:f>
        <x:v>0</x:v>
      </x:c>
      <x:c r="E9" s="54" t="n">
        <x:f>COUNTIFS('Matriz de pruebas'!$B$8:$B$31,A9,'Matriz de pruebas'!$H$8:$H$31,"Contextual")</x:f>
        <x:v>2</x:v>
      </x:c>
    </x:row>
    <x:row r="10" ht="32" customHeight="1">
      <x:c r="A10" s="54" t="str">
        <x:v>401/403</x:v>
      </x:c>
      <x:c r="B10" s="54" t="n">
        <x:f>COUNTIF('Matriz de pruebas'!$B$8:$B$31,A10)</x:f>
        <x:v>1</x:v>
      </x:c>
      <x:c r="C10" s="54" t="n">
        <x:f>COUNTIFS('Matriz de pruebas'!$B$8:$B$31,A10,'Matriz de pruebas'!$G$8:$G$31,"Pasa")</x:f>
        <x:v>1</x:v>
      </x:c>
      <x:c r="D10" s="54" t="n">
        <x:f>COUNTIFS('Matriz de pruebas'!$B$8:$B$31,A10,'Matriz de pruebas'!$G$8:$G$31,"Falla")</x:f>
        <x:v>0</x:v>
      </x:c>
      <x:c r="E10" s="54" t="n">
        <x:f>COUNTIFS('Matriz de pruebas'!$B$8:$B$31,A10,'Matriz de pruebas'!$H$8:$H$31,"Contextual")</x:f>
        <x:v>0</x:v>
      </x:c>
    </x:row>
    <x:row r="11" ht="32" customHeight="1">
      <x:c r="A11" s="54" t="str">
        <x:v>Aviso</x:v>
      </x:c>
      <x:c r="B11" s="54" t="n">
        <x:f>COUNTIF('Matriz de pruebas'!$B$8:$B$31,A11)</x:f>
        <x:v>4</x:v>
      </x:c>
      <x:c r="C11" s="54" t="n">
        <x:f>COUNTIFS('Matriz de pruebas'!$B$8:$B$31,A11,'Matriz de pruebas'!$G$8:$G$31,"Pasa")</x:f>
        <x:v>4</x:v>
      </x:c>
      <x:c r="D11" s="54" t="n">
        <x:f>COUNTIFS('Matriz de pruebas'!$B$8:$B$31,A11,'Matriz de pruebas'!$G$8:$G$31,"Falla")</x:f>
        <x:v>0</x:v>
      </x:c>
      <x:c r="E11" s="54" t="n">
        <x:f>COUNTIFS('Matriz de pruebas'!$B$8:$B$31,A11,'Matriz de pruebas'!$H$8:$H$31,"Contextual")</x:f>
        <x:v>1</x:v>
      </x:c>
    </x:row>
    <x:row r="12" ht="35" customHeight="1">
      <x:c r="A12" s="57" t="str">
        <x:v>TOTAL</x:v>
      </x:c>
      <x:c r="B12" s="57" t="n">
        <x:f>SUM(B5:B11)</x:f>
        <x:v>24</x:v>
      </x:c>
      <x:c r="C12" s="57" t="n">
        <x:f>SUM(C5:C11)</x:f>
        <x:v>24</x:v>
      </x:c>
      <x:c r="D12" s="57" t="n">
        <x:f>SUM(D5:D11)</x:f>
        <x:v>0</x:v>
      </x:c>
      <x:c r="E12" s="57" t="n">
        <x:f>SUM(E5:E11)</x:f>
        <x:v>10</x:v>
      </x:c>
    </x:row>
    <x:row r="14" ht="27" customHeight="1">
      <x:c r="A14" s="59" t="str">
        <x:v>DOCUMENTACIÓN</x:v>
      </x:c>
      <x:c r="B14" s="59"/>
      <x:c r="C14" s="59"/>
      <x:c r="D14" s="59"/>
      <x:c r="E14" s="59"/>
    </x:row>
    <x:row r="15" ht="35" customHeight="1">
      <x:c r="A15" s="60" t="str">
        <x:v>El archivo “PharmaSoft_S11_Evidencias_Seguridad.pdf” incluye 24 fichas, cada una con pasos, expectativa, resultado manual y una o dos capturas. Para los casos marcados “Contextual”, conviene conservar adicionalmente una captura específica del paso cuando sea posible.</x:v>
      </x:c>
      <x:c r="B15" s="60"/>
      <x:c r="C15" s="60"/>
      <x:c r="D15" s="60"/>
      <x:c r="E15" s="60"/>
    </x:row>
    <x:row r="16" ht="35" customHeight="1">
      <x:c r="A16" s="60"/>
      <x:c r="B16" s="60"/>
      <x:c r="C16" s="60"/>
      <x:c r="D16" s="60"/>
      <x:c r="E16" s="60"/>
    </x:row>
  </x:sheetData>
  <x:mergeCells>
    <x:mergeCell ref="A1:E2"/>
    <x:mergeCell ref="A14:E14"/>
    <x:mergeCell ref="A15:E16"/>
  </x:mergeCells>
  <x:pageMargins left="0.7" right="0.7" top="0.75" bottom="0.75" header="0.3" footer="0.3"/>
</x:worksheet>
</file>